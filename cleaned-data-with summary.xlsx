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cleaned data" sheetId="2" r:id="rId6"/>
    <sheet state="visible" name="SUMMARY TABLE3" sheetId="3" r:id="rId7"/>
    <sheet state="visible" name="SUMMARY TABLE2" sheetId="4" r:id="rId8"/>
    <sheet state="visible" name="SUMMARY TABLE1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<sst xmlns="http://schemas.openxmlformats.org/spreadsheetml/2006/main" count="380" uniqueCount="104">
  <si>
    <t>Order ID</t>
  </si>
  <si>
    <t>Customer Name</t>
  </si>
  <si>
    <t>Gender</t>
  </si>
  <si>
    <t>Country</t>
  </si>
  <si>
    <t>Product</t>
  </si>
  <si>
    <t>Quantity</t>
  </si>
  <si>
    <t>Price</t>
  </si>
  <si>
    <t>Order Date</t>
  </si>
  <si>
    <t>Salesperson</t>
  </si>
  <si>
    <t>S001</t>
  </si>
  <si>
    <t>Rahul Sharma</t>
  </si>
  <si>
    <t>Male</t>
  </si>
  <si>
    <t>India</t>
  </si>
  <si>
    <t>Laptop</t>
  </si>
  <si>
    <t>UPDATED &amp; CLEANED SHEET</t>
  </si>
  <si>
    <t>Amit</t>
  </si>
  <si>
    <t>S002</t>
  </si>
  <si>
    <t>Priya Das</t>
  </si>
  <si>
    <t>Female</t>
  </si>
  <si>
    <t>india</t>
  </si>
  <si>
    <t>Mobile</t>
  </si>
  <si>
    <t>Riya</t>
  </si>
  <si>
    <t>S003</t>
  </si>
  <si>
    <t>Arjun Roy</t>
  </si>
  <si>
    <t>M</t>
  </si>
  <si>
    <t>INDIA</t>
  </si>
  <si>
    <t>Tablet</t>
  </si>
  <si>
    <t>14.01.2026</t>
  </si>
  <si>
    <t>S004</t>
  </si>
  <si>
    <t>Sneha Paul</t>
  </si>
  <si>
    <t>USA</t>
  </si>
  <si>
    <t>15-01-2026</t>
  </si>
  <si>
    <t>S005</t>
  </si>
  <si>
    <t>Rohit Singh</t>
  </si>
  <si>
    <t>male</t>
  </si>
  <si>
    <t>United States</t>
  </si>
  <si>
    <t>S006</t>
  </si>
  <si>
    <t>Ananya Bose</t>
  </si>
  <si>
    <t>F</t>
  </si>
  <si>
    <t>UK</t>
  </si>
  <si>
    <t>17/01/2026</t>
  </si>
  <si>
    <t>S007</t>
  </si>
  <si>
    <t>Vikram Das</t>
  </si>
  <si>
    <t>18-01-2026</t>
  </si>
  <si>
    <t>Neha</t>
  </si>
  <si>
    <t>S008</t>
  </si>
  <si>
    <t>Pooja Roy</t>
  </si>
  <si>
    <t>19.01.2026</t>
  </si>
  <si>
    <t>Updated Countries</t>
  </si>
  <si>
    <t>Updated Salesperson</t>
  </si>
  <si>
    <t>S009</t>
  </si>
  <si>
    <t>Karan Gupta</t>
  </si>
  <si>
    <t>SUM of Total Sales</t>
  </si>
  <si>
    <t>Updated Gender</t>
  </si>
  <si>
    <t>S010</t>
  </si>
  <si>
    <t>Riya Sen</t>
  </si>
  <si>
    <t>United Kingdom</t>
  </si>
  <si>
    <t>21-01-2026</t>
  </si>
  <si>
    <t>Standardised Products</t>
  </si>
  <si>
    <t>Updated Date</t>
  </si>
  <si>
    <t>S011</t>
  </si>
  <si>
    <t>Sourav Paul</t>
  </si>
  <si>
    <t>Total Sales</t>
  </si>
  <si>
    <t>SUMMARY</t>
  </si>
  <si>
    <t>22/01/2026</t>
  </si>
  <si>
    <t>Grand Total</t>
  </si>
  <si>
    <t>Unknown</t>
  </si>
  <si>
    <t>S012</t>
  </si>
  <si>
    <t>Megha Das</t>
  </si>
  <si>
    <t>23.01.2026</t>
  </si>
  <si>
    <t>S013</t>
  </si>
  <si>
    <t>S014</t>
  </si>
  <si>
    <t>Neha Sharma</t>
  </si>
  <si>
    <t>25-01-2026</t>
  </si>
  <si>
    <t>S015</t>
  </si>
  <si>
    <t>26/01/2026</t>
  </si>
  <si>
    <t>S016</t>
  </si>
  <si>
    <t>Tina Roy</t>
  </si>
  <si>
    <t>27.01.2026</t>
  </si>
  <si>
    <t>S017</t>
  </si>
  <si>
    <t>Dev Kumar</t>
  </si>
  <si>
    <t>S018</t>
  </si>
  <si>
    <t>29-01-2026</t>
  </si>
  <si>
    <t>S019</t>
  </si>
  <si>
    <t>30/01/2026</t>
  </si>
  <si>
    <t>S020</t>
  </si>
  <si>
    <t>31.01.2026</t>
  </si>
  <si>
    <t>S021</t>
  </si>
  <si>
    <t>Amit Das</t>
  </si>
  <si>
    <t>S022</t>
  </si>
  <si>
    <t>Riya Paul</t>
  </si>
  <si>
    <t>S023</t>
  </si>
  <si>
    <t>Suman Roy</t>
  </si>
  <si>
    <t>03.02.2026</t>
  </si>
  <si>
    <t>S024</t>
  </si>
  <si>
    <t>Ankit Sen</t>
  </si>
  <si>
    <t>S025</t>
  </si>
  <si>
    <t>Priyanka Das</t>
  </si>
  <si>
    <t>no. of blank entries</t>
  </si>
  <si>
    <t>average Quantity</t>
  </si>
  <si>
    <t>missing Price values(average)</t>
  </si>
  <si>
    <t>15/01/2026</t>
  </si>
  <si>
    <t xml:space="preserve">SUM of </t>
  </si>
  <si>
    <t>SUM of UPDATED &amp; CLEANED 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</si>
</sst>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yyyy/mm/dd"/>
    <numFmt numFmtId="166" formatCode="yyyy-mm-dd"/>
    <numFmt numFmtId="167" formatCode="M/d/yyyy"/>
    <numFmt numFmtId="168" formatCode="mm/dd/yyyy"/>
    <numFmt numFmtId="169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2" fontId="1" numFmtId="0" xfId="0" applyAlignment="1" applyBorder="1" applyFill="1" applyFont="1">
      <alignment horizontal="center" readingOrder="0"/>
    </xf>
    <xf borderId="0" fillId="0" fontId="1" numFmtId="165" xfId="0" applyAlignment="1" applyFont="1" applyNumberFormat="1">
      <alignment readingOrder="0"/>
    </xf>
    <xf borderId="2" fillId="0" fontId="2" numFmtId="0" xfId="0" applyBorder="1" applyFont="1"/>
    <xf borderId="3" fillId="0" fontId="2" numFmtId="0" xfId="0" applyBorder="1" applyFont="1"/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4" fillId="0" fontId="1" numFmtId="0" xfId="0" applyAlignment="1" applyBorder="1" applyFont="1">
      <alignment horizontal="left" readingOrder="0"/>
    </xf>
    <xf borderId="4" fillId="0" fontId="3" numFmtId="0" xfId="0" applyAlignment="1" applyBorder="1" applyFont="1">
      <alignment horizontal="left" readingOrder="0"/>
    </xf>
    <xf borderId="0" fillId="0" fontId="1" numFmtId="0" xfId="0" applyFont="1"/>
    <xf borderId="4" fillId="0" fontId="3" numFmtId="0" xfId="0" applyAlignment="1" applyBorder="1" applyFont="1">
      <alignment readingOrder="0"/>
    </xf>
    <xf borderId="1" fillId="3" fontId="4" numFmtId="0" xfId="0" applyAlignment="1" applyBorder="1" applyFill="1" applyFont="1">
      <alignment horizontal="center" readingOrder="0"/>
    </xf>
    <xf borderId="0" fillId="0" fontId="1" numFmtId="167" xfId="0" applyAlignment="1" applyFont="1" applyNumberFormat="1">
      <alignment readingOrder="0"/>
    </xf>
    <xf borderId="4" fillId="0" fontId="1" numFmtId="0" xfId="0" applyAlignment="1" applyBorder="1" applyFont="1">
      <alignment horizontal="left"/>
    </xf>
    <xf borderId="0" fillId="0" fontId="1" numFmtId="168" xfId="0" applyAlignment="1" applyFont="1" applyNumberFormat="1">
      <alignment readingOrder="0"/>
    </xf>
    <xf borderId="4" fillId="0" fontId="1" numFmtId="0" xfId="0" applyAlignment="1" applyBorder="1" applyFont="1">
      <alignment readingOrder="0"/>
    </xf>
    <xf borderId="4" fillId="0" fontId="1" numFmtId="0" xfId="0" applyBorder="1" applyFont="1"/>
    <xf borderId="0" fillId="0" fontId="1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L2:T27" sheet="cleaned data"/>
  </cacheSource>
  <cacheFields>
    <cacheField name="Price" numFmtId="0">
      <sharedItems containsSemiMixedTypes="0" containsString="0" containsNumber="1" containsInteger="1">
        <n v="55000.0"/>
        <n v="25000.0"/>
        <n v="18000.0"/>
        <n v="60000.0"/>
        <n v="28000.0"/>
        <n v="22000.0"/>
        <n v="37435.0"/>
        <n v="62000.0"/>
        <n v="21000.0"/>
        <n v="27000.0"/>
        <n v="58000.0"/>
        <n v="30000.0"/>
        <n v="20000.0"/>
        <n v="26000.0"/>
        <n v="29000.0"/>
        <n v="57000.0"/>
        <n v="24000.0"/>
        <n v="61000.0"/>
      </sharedItems>
    </cacheField>
    <cacheField name="Order ID" numFmtId="0">
      <sharedItems>
        <s v="S001"/>
        <s v="S002"/>
        <s v="S003"/>
        <s v="S004"/>
        <s v="S005"/>
        <s v="S006"/>
        <s v="S007"/>
        <s v="S008"/>
        <s v="S009"/>
        <s v="S010"/>
        <s v="S011"/>
        <s v="S012"/>
        <s v="S013"/>
        <s v="S014"/>
        <s v="S015"/>
        <s v="S016"/>
        <s v="S017"/>
        <s v="S018"/>
        <s v="S019"/>
        <s v="S020"/>
        <s v="S021"/>
        <s v="S022"/>
        <s v="S023"/>
        <s v="S024"/>
        <s v="S025"/>
      </sharedItems>
    </cacheField>
    <cacheField name="Customer Name" numFmtId="0">
      <sharedItems>
        <s v="Rahul Sharma"/>
        <s v="Priya Das"/>
        <s v="Arjun Roy"/>
        <s v="Sneha Paul"/>
        <s v="Rohit Singh"/>
        <s v="Ananya Bose"/>
        <s v="Vikram Das"/>
        <s v="Pooja Roy"/>
        <s v="Karan Gupta"/>
        <s v="Riya Sen"/>
        <s v="Sourav Paul"/>
        <s v="Megha Das"/>
        <s v="Neha Sharma"/>
        <s v="Tina Roy"/>
        <s v="Dev Kumar"/>
        <s v="Amit Das"/>
        <s v="Riya Paul"/>
        <s v="Suman Roy"/>
        <s v="Ankit Sen"/>
        <s v="Priyanka Das"/>
      </sharedItems>
    </cacheField>
    <cacheField name="Updated Salesperson" numFmtId="0">
      <sharedItems>
        <s v="Amit"/>
        <s v="Riya"/>
        <s v="Unknown"/>
        <s v="Neha"/>
      </sharedItems>
    </cacheField>
    <cacheField name="Updated Gender" numFmtId="0">
      <sharedItems>
        <s v="Male"/>
        <s v="Female"/>
      </sharedItems>
    </cacheField>
    <cacheField name="Updated Countries" numFmtId="0">
      <sharedItems>
        <s v="India"/>
        <s v="USA"/>
        <s v="UK"/>
      </sharedItems>
    </cacheField>
    <cacheField name="Standardised Products" numFmtId="0">
      <sharedItems>
        <s v="Laptop"/>
        <s v="Mobile"/>
        <s v="Tablet"/>
      </sharedItems>
    </cacheField>
    <cacheField name="Updated Date" numFmtId="0">
      <sharedItems>
        <s v="01-12-2026"/>
        <s v="13-01-2026"/>
        <s v="14-01-2026"/>
        <s v="15-01-2026"/>
        <s v="16-01-2026"/>
        <s v="17-01-2026"/>
        <s v="18-01-2026"/>
        <s v="19-01-2026"/>
        <s v="20-01-2026"/>
        <s v="21-01-2026"/>
        <s v="22-01-2026"/>
        <s v="23-01-2026"/>
        <s v="25-01-2026"/>
        <s v="26-01-2026"/>
        <s v="27-01-2026"/>
        <s v="28-01-2026"/>
        <s v="29-01-2026"/>
        <s v="30-01-2026"/>
        <s v="31-01-2026"/>
        <s v="02-01-2026"/>
        <s v="02-02-2026"/>
        <s v="03-02-2026"/>
        <s v="02-04-2026"/>
        <s v="02-05-2026"/>
      </sharedItems>
    </cacheField>
    <cacheField name="Total Sales" numFmtId="0">
      <sharedItems containsSemiMixedTypes="0" containsString="0" containsNumber="1" containsInteger="1">
        <n v="110000.0"/>
        <n v="25000.0"/>
        <n v="54000.0"/>
        <n v="60000.0"/>
        <n v="56000.0"/>
        <n v="44000.0"/>
        <n v="55000.0"/>
        <n v="74870.0"/>
        <n v="62000.0"/>
        <n v="42000.0"/>
        <n v="81000.0"/>
        <n v="58000.0"/>
        <n v="20000.0"/>
        <n v="52000.0"/>
        <n v="29000.0"/>
        <n v="114000.0"/>
        <n v="48000.0"/>
        <n v="37435.0"/>
        <n v="122000.0"/>
        <n v="270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UMMARY TABLE3" cacheId="0" dataCaption="" compact="0" compactData="0">
  <location ref="A1:B6" firstHeaderRow="0" firstDataRow="1" firstDataCol="0"/>
  <pivotFields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Updated Salesperson" axis="axisRow" compact="0" outline="0" multipleItemSelectionAllowed="1" showAll="0" sortType="ascending">
      <items>
        <item x="0"/>
        <item x="3"/>
        <item x="1"/>
        <item x="2"/>
        <item t="default"/>
      </items>
    </pivotField>
    <pivotField name="Updated Gender" compact="0" outline="0" multipleItemSelectionAllowed="1" showAll="0">
      <items>
        <item x="0"/>
        <item x="1"/>
        <item t="default"/>
      </items>
    </pivotField>
    <pivotField name="Updated Countries" compact="0" outline="0" multipleItemSelectionAllowed="1" showAll="0">
      <items>
        <item x="0"/>
        <item x="1"/>
        <item x="2"/>
        <item t="default"/>
      </items>
    </pivotField>
    <pivotField name="Standardised Products" compact="0" outline="0" multipleItemSelectionAllowed="1" showAll="0">
      <items>
        <item x="0"/>
        <item x="1"/>
        <item x="2"/>
        <item t="default"/>
      </items>
    </pivotField>
    <pivotField name="Update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otal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3"/>
  </rowFields>
  <dataFields>
    <dataField name="SUM of Total Sales" fld="8" baseField="0"/>
  </dataFields>
</pivotTableDefinition>
</file>

<file path=xl/pivotTables/pivotTable2.xml><?xml version="1.0" encoding="utf-8"?>
<pivotTableDefinition xmlns="http://schemas.openxmlformats.org/spreadsheetml/2006/main" name="SUMMARY TABLE2" cacheId="0" dataCaption="" compact="0" compactData="0">
  <location ref="A1:B5" firstHeaderRow="0" firstDataRow="1" firstDataCol="0"/>
  <pivotFields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Updated Salesperson" compact="0" outline="0" multipleItemSelectionAllowed="1" showAll="0">
      <items>
        <item x="0"/>
        <item x="1"/>
        <item x="2"/>
        <item x="3"/>
        <item t="default"/>
      </items>
    </pivotField>
    <pivotField name="Updated Gender" compact="0" outline="0" multipleItemSelectionAllowed="1" showAll="0">
      <items>
        <item x="0"/>
        <item x="1"/>
        <item t="default"/>
      </items>
    </pivotField>
    <pivotField name="Updated Countries" axis="axisRow" compact="0" outline="0" multipleItemSelectionAllowed="1" showAll="0" sortType="ascending">
      <items>
        <item x="0"/>
        <item x="2"/>
        <item x="1"/>
        <item t="default"/>
      </items>
    </pivotField>
    <pivotField name="Standardised Products" compact="0" outline="0" multipleItemSelectionAllowed="1" showAll="0">
      <items>
        <item x="0"/>
        <item x="1"/>
        <item x="2"/>
        <item t="default"/>
      </items>
    </pivotField>
    <pivotField name="Update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otal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5"/>
  </rowFields>
  <dataFields>
    <dataField name="SUM of Total Sales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2.0</v>
      </c>
      <c r="G2" s="1">
        <v>55000.0</v>
      </c>
      <c r="H2" s="2">
        <v>46357.0</v>
      </c>
      <c r="I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1.0</v>
      </c>
      <c r="G3" s="1">
        <v>25000.0</v>
      </c>
      <c r="H3" s="4">
        <v>46035.0</v>
      </c>
      <c r="I3" s="1" t="s">
        <v>21</v>
      </c>
    </row>
    <row r="4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>
        <v>3.0</v>
      </c>
      <c r="G4" s="1">
        <v>18000.0</v>
      </c>
      <c r="H4" s="1" t="s">
        <v>27</v>
      </c>
      <c r="I4" s="1" t="s">
        <v>15</v>
      </c>
    </row>
    <row r="5">
      <c r="A5" s="1" t="s">
        <v>28</v>
      </c>
      <c r="B5" s="1" t="s">
        <v>29</v>
      </c>
      <c r="C5" s="1" t="s">
        <v>18</v>
      </c>
      <c r="D5" s="1" t="s">
        <v>30</v>
      </c>
      <c r="E5" s="1" t="s">
        <v>13</v>
      </c>
      <c r="F5" s="1">
        <v>1.0</v>
      </c>
      <c r="G5" s="1">
        <v>60000.0</v>
      </c>
      <c r="H5" s="1" t="s">
        <v>31</v>
      </c>
    </row>
    <row r="6">
      <c r="A6" s="1" t="s">
        <v>32</v>
      </c>
      <c r="B6" s="1" t="s">
        <v>33</v>
      </c>
      <c r="C6" s="1" t="s">
        <v>34</v>
      </c>
      <c r="D6" s="1" t="s">
        <v>35</v>
      </c>
      <c r="E6" s="1" t="s">
        <v>20</v>
      </c>
      <c r="F6" s="1">
        <v>2.0</v>
      </c>
      <c r="G6" s="1">
        <v>28000.0</v>
      </c>
      <c r="H6" s="7">
        <v>46038.0</v>
      </c>
      <c r="I6" s="1" t="s">
        <v>21</v>
      </c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26</v>
      </c>
      <c r="G7" s="1">
        <v>22000.0</v>
      </c>
      <c r="H7" s="1" t="s">
        <v>40</v>
      </c>
      <c r="I7" s="1" t="s">
        <v>15</v>
      </c>
    </row>
    <row r="8">
      <c r="A8" s="1" t="s">
        <v>41</v>
      </c>
      <c r="B8" s="1" t="s">
        <v>42</v>
      </c>
      <c r="C8" s="1" t="s">
        <v>11</v>
      </c>
      <c r="D8" s="1" t="s">
        <v>12</v>
      </c>
      <c r="E8" s="1" t="s">
        <v>13</v>
      </c>
      <c r="F8" s="1">
        <v>1.0</v>
      </c>
      <c r="G8" s="1">
        <v>55000.0</v>
      </c>
      <c r="H8" s="1" t="s">
        <v>43</v>
      </c>
      <c r="I8" s="1" t="s">
        <v>44</v>
      </c>
    </row>
    <row r="9">
      <c r="A9" s="1" t="s">
        <v>45</v>
      </c>
      <c r="B9" s="1" t="s">
        <v>46</v>
      </c>
      <c r="C9" s="1" t="s">
        <v>18</v>
      </c>
      <c r="D9" s="1" t="s">
        <v>19</v>
      </c>
      <c r="E9" s="1" t="s">
        <v>20</v>
      </c>
      <c r="F9" s="1">
        <v>2.0</v>
      </c>
      <c r="H9" s="1" t="s">
        <v>47</v>
      </c>
      <c r="I9" s="1" t="s">
        <v>21</v>
      </c>
    </row>
    <row r="10">
      <c r="A10" s="1" t="s">
        <v>50</v>
      </c>
      <c r="B10" s="1" t="s">
        <v>51</v>
      </c>
      <c r="C10" s="1" t="s">
        <v>24</v>
      </c>
      <c r="D10" s="1" t="s">
        <v>30</v>
      </c>
      <c r="E10" s="1" t="s">
        <v>13</v>
      </c>
      <c r="F10" s="1">
        <v>1.0</v>
      </c>
      <c r="G10" s="1">
        <v>62000.0</v>
      </c>
      <c r="H10" s="4">
        <v>46042.0</v>
      </c>
      <c r="I10" s="1" t="s">
        <v>15</v>
      </c>
    </row>
    <row r="11">
      <c r="A11" s="1" t="s">
        <v>54</v>
      </c>
      <c r="B11" s="1" t="s">
        <v>55</v>
      </c>
      <c r="C11" s="1" t="s">
        <v>18</v>
      </c>
      <c r="D11" s="1" t="s">
        <v>56</v>
      </c>
      <c r="E11" s="1" t="s">
        <v>26</v>
      </c>
      <c r="F11" s="1">
        <v>2.0</v>
      </c>
      <c r="G11" s="1">
        <v>21000.0</v>
      </c>
      <c r="H11" s="1" t="s">
        <v>57</v>
      </c>
      <c r="I11" s="1" t="s">
        <v>44</v>
      </c>
    </row>
    <row r="12">
      <c r="A12" s="1" t="s">
        <v>60</v>
      </c>
      <c r="B12" s="1" t="s">
        <v>61</v>
      </c>
      <c r="C12" s="1" t="s">
        <v>11</v>
      </c>
      <c r="D12" s="1" t="s">
        <v>25</v>
      </c>
      <c r="E12" s="1" t="s">
        <v>20</v>
      </c>
      <c r="F12" s="1">
        <v>3.0</v>
      </c>
      <c r="G12" s="1">
        <v>27000.0</v>
      </c>
      <c r="H12" s="1" t="s">
        <v>64</v>
      </c>
      <c r="I12" s="1" t="s">
        <v>15</v>
      </c>
    </row>
    <row r="13">
      <c r="A13" s="1" t="s">
        <v>67</v>
      </c>
      <c r="B13" s="1" t="s">
        <v>68</v>
      </c>
      <c r="C13" s="1" t="s">
        <v>18</v>
      </c>
      <c r="D13" s="1" t="s">
        <v>39</v>
      </c>
      <c r="E13" s="1" t="s">
        <v>13</v>
      </c>
      <c r="F13" s="1">
        <v>1.0</v>
      </c>
      <c r="G13" s="1">
        <v>58000.0</v>
      </c>
      <c r="H13" s="1" t="s">
        <v>69</v>
      </c>
    </row>
    <row r="14">
      <c r="A14" s="1" t="s">
        <v>70</v>
      </c>
      <c r="B14" s="1" t="s">
        <v>23</v>
      </c>
      <c r="C14" s="1" t="s">
        <v>24</v>
      </c>
      <c r="D14" s="1" t="s">
        <v>12</v>
      </c>
      <c r="E14" s="1" t="s">
        <v>26</v>
      </c>
      <c r="F14" s="1">
        <v>3.0</v>
      </c>
      <c r="G14" s="1">
        <v>18000.0</v>
      </c>
      <c r="H14" s="1" t="s">
        <v>27</v>
      </c>
      <c r="I14" s="1" t="s">
        <v>15</v>
      </c>
    </row>
    <row r="15">
      <c r="A15" s="1" t="s">
        <v>71</v>
      </c>
      <c r="B15" s="1" t="s">
        <v>72</v>
      </c>
      <c r="C15" s="1" t="s">
        <v>18</v>
      </c>
      <c r="D15" s="1" t="s">
        <v>30</v>
      </c>
      <c r="E15" s="1" t="s">
        <v>20</v>
      </c>
      <c r="G15" s="1">
        <v>30000.0</v>
      </c>
      <c r="H15" s="1" t="s">
        <v>73</v>
      </c>
      <c r="I15" s="1" t="s">
        <v>21</v>
      </c>
    </row>
    <row r="16">
      <c r="A16" s="1" t="s">
        <v>74</v>
      </c>
      <c r="B16" s="1" t="s">
        <v>10</v>
      </c>
      <c r="C16" s="1" t="s">
        <v>11</v>
      </c>
      <c r="D16" s="1" t="s">
        <v>19</v>
      </c>
      <c r="E16" s="1" t="s">
        <v>13</v>
      </c>
      <c r="F16" s="1">
        <v>2.0</v>
      </c>
      <c r="G16" s="1">
        <v>55000.0</v>
      </c>
      <c r="H16" s="1" t="s">
        <v>75</v>
      </c>
      <c r="I16" s="1" t="s">
        <v>15</v>
      </c>
    </row>
    <row r="17">
      <c r="A17" s="1" t="s">
        <v>76</v>
      </c>
      <c r="B17" s="1" t="s">
        <v>77</v>
      </c>
      <c r="C17" s="1" t="s">
        <v>38</v>
      </c>
      <c r="D17" s="1" t="s">
        <v>35</v>
      </c>
      <c r="E17" s="1" t="s">
        <v>26</v>
      </c>
      <c r="F17" s="1">
        <v>1.0</v>
      </c>
      <c r="G17" s="1">
        <v>20000.0</v>
      </c>
      <c r="H17" s="1" t="s">
        <v>78</v>
      </c>
      <c r="I17" s="1" t="s">
        <v>44</v>
      </c>
    </row>
    <row r="18">
      <c r="A18" s="1" t="s">
        <v>79</v>
      </c>
      <c r="B18" s="1" t="s">
        <v>80</v>
      </c>
      <c r="C18" s="1" t="s">
        <v>11</v>
      </c>
      <c r="D18" s="1" t="s">
        <v>12</v>
      </c>
      <c r="E18" s="1" t="s">
        <v>20</v>
      </c>
      <c r="F18" s="1">
        <v>2.0</v>
      </c>
      <c r="G18" s="1">
        <v>26000.0</v>
      </c>
      <c r="H18" s="7">
        <v>46050.0</v>
      </c>
    </row>
    <row r="19">
      <c r="A19" s="1" t="s">
        <v>81</v>
      </c>
      <c r="B19" s="1" t="s">
        <v>17</v>
      </c>
      <c r="C19" s="1" t="s">
        <v>18</v>
      </c>
      <c r="D19" s="1" t="s">
        <v>25</v>
      </c>
      <c r="E19" s="1" t="s">
        <v>13</v>
      </c>
      <c r="F19" s="1">
        <v>1.0</v>
      </c>
      <c r="G19" s="1">
        <v>60000.0</v>
      </c>
      <c r="H19" s="1" t="s">
        <v>82</v>
      </c>
      <c r="I19" s="1" t="s">
        <v>21</v>
      </c>
    </row>
    <row r="20">
      <c r="A20" s="1" t="s">
        <v>83</v>
      </c>
      <c r="B20" s="1" t="s">
        <v>51</v>
      </c>
      <c r="C20" s="1" t="s">
        <v>24</v>
      </c>
      <c r="D20" s="1" t="s">
        <v>30</v>
      </c>
      <c r="E20" s="1" t="s">
        <v>26</v>
      </c>
      <c r="F20" s="1">
        <v>2.0</v>
      </c>
      <c r="G20" s="1">
        <v>22000.0</v>
      </c>
      <c r="H20" s="1" t="s">
        <v>84</v>
      </c>
      <c r="I20" s="1" t="s">
        <v>15</v>
      </c>
    </row>
    <row r="21">
      <c r="A21" s="1" t="s">
        <v>85</v>
      </c>
      <c r="B21" s="1" t="s">
        <v>29</v>
      </c>
      <c r="C21" s="1" t="s">
        <v>18</v>
      </c>
      <c r="D21" s="1" t="s">
        <v>56</v>
      </c>
      <c r="E21" s="1" t="s">
        <v>20</v>
      </c>
      <c r="F21" s="1">
        <v>1.0</v>
      </c>
      <c r="G21" s="1">
        <v>29000.0</v>
      </c>
      <c r="H21" s="1" t="s">
        <v>86</v>
      </c>
      <c r="I21" s="1" t="s">
        <v>44</v>
      </c>
    </row>
    <row r="22">
      <c r="A22" s="1" t="s">
        <v>32</v>
      </c>
      <c r="B22" s="1" t="s">
        <v>33</v>
      </c>
      <c r="C22" s="1" t="s">
        <v>34</v>
      </c>
      <c r="D22" s="1" t="s">
        <v>35</v>
      </c>
      <c r="E22" s="1" t="s">
        <v>20</v>
      </c>
      <c r="F22" s="1">
        <v>2.0</v>
      </c>
      <c r="G22" s="1">
        <v>28000.0</v>
      </c>
      <c r="H22" s="7">
        <v>46038.0</v>
      </c>
      <c r="I22" s="1" t="s">
        <v>21</v>
      </c>
    </row>
    <row r="23">
      <c r="A23" s="1" t="s">
        <v>87</v>
      </c>
      <c r="B23" s="1" t="s">
        <v>88</v>
      </c>
      <c r="C23" s="1" t="s">
        <v>11</v>
      </c>
      <c r="D23" s="1" t="s">
        <v>12</v>
      </c>
      <c r="E23" s="1" t="s">
        <v>13</v>
      </c>
      <c r="G23" s="1">
        <v>57000.0</v>
      </c>
      <c r="H23" s="2">
        <v>46024.0</v>
      </c>
      <c r="I23" s="1" t="s">
        <v>15</v>
      </c>
    </row>
    <row r="24">
      <c r="A24" s="1" t="s">
        <v>89</v>
      </c>
      <c r="B24" s="1" t="s">
        <v>90</v>
      </c>
      <c r="C24" s="1" t="s">
        <v>18</v>
      </c>
      <c r="D24" s="1" t="s">
        <v>19</v>
      </c>
      <c r="E24" s="1" t="s">
        <v>20</v>
      </c>
      <c r="F24" s="1">
        <v>2.0</v>
      </c>
      <c r="G24" s="1">
        <v>24000.0</v>
      </c>
      <c r="H24" s="4">
        <v>46055.0</v>
      </c>
      <c r="I24" s="1" t="s">
        <v>21</v>
      </c>
    </row>
    <row r="25">
      <c r="A25" s="1" t="s">
        <v>91</v>
      </c>
      <c r="B25" s="1" t="s">
        <v>92</v>
      </c>
      <c r="C25" s="1" t="s">
        <v>24</v>
      </c>
      <c r="D25" s="1" t="s">
        <v>39</v>
      </c>
      <c r="E25" s="1" t="s">
        <v>26</v>
      </c>
      <c r="F25" s="1">
        <v>1.0</v>
      </c>
      <c r="H25" s="1" t="s">
        <v>93</v>
      </c>
      <c r="I25" s="1" t="s">
        <v>44</v>
      </c>
    </row>
    <row r="26">
      <c r="A26" s="1" t="s">
        <v>94</v>
      </c>
      <c r="B26" s="1" t="s">
        <v>95</v>
      </c>
      <c r="C26" s="1" t="s">
        <v>11</v>
      </c>
      <c r="D26" s="1" t="s">
        <v>30</v>
      </c>
      <c r="E26" s="1" t="s">
        <v>13</v>
      </c>
      <c r="F26" s="1">
        <v>2.0</v>
      </c>
      <c r="G26" s="1">
        <v>61000.0</v>
      </c>
      <c r="H26" s="16">
        <v>46114.0</v>
      </c>
      <c r="I26" s="1" t="s">
        <v>15</v>
      </c>
    </row>
    <row r="27">
      <c r="A27" s="1" t="s">
        <v>96</v>
      </c>
      <c r="B27" s="1" t="s">
        <v>97</v>
      </c>
      <c r="C27" s="1" t="s">
        <v>18</v>
      </c>
      <c r="D27" s="1" t="s">
        <v>35</v>
      </c>
      <c r="E27" s="1" t="s">
        <v>20</v>
      </c>
      <c r="F27" s="1">
        <v>1.0</v>
      </c>
      <c r="G27" s="1">
        <v>27000.0</v>
      </c>
      <c r="H27" s="2">
        <v>46144.0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8.75"/>
    <col customWidth="1" min="10" max="10" width="6.25"/>
    <col customWidth="1" min="11" max="21" width="38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3" t="s">
        <v>14</v>
      </c>
      <c r="L1" s="5"/>
      <c r="M1" s="5"/>
      <c r="N1" s="5"/>
      <c r="O1" s="5"/>
      <c r="P1" s="5"/>
      <c r="Q1" s="5"/>
      <c r="R1" s="5"/>
      <c r="S1" s="5"/>
      <c r="T1" s="6"/>
    </row>
    <row r="2">
      <c r="C2" s="1" t="s">
        <v>2</v>
      </c>
      <c r="D2" s="1" t="s">
        <v>3</v>
      </c>
      <c r="E2" s="1" t="s">
        <v>4</v>
      </c>
      <c r="H2" s="1" t="s">
        <v>7</v>
      </c>
      <c r="I2" s="1" t="s">
        <v>8</v>
      </c>
      <c r="J2" s="8"/>
      <c r="K2" s="9" t="s">
        <v>5</v>
      </c>
      <c r="L2" s="10" t="s">
        <v>6</v>
      </c>
      <c r="M2" s="10" t="s">
        <v>0</v>
      </c>
      <c r="N2" s="10" t="s">
        <v>1</v>
      </c>
      <c r="O2" s="10" t="s">
        <v>49</v>
      </c>
      <c r="P2" s="10" t="s">
        <v>53</v>
      </c>
      <c r="Q2" s="12" t="s">
        <v>48</v>
      </c>
      <c r="R2" s="12" t="s">
        <v>58</v>
      </c>
      <c r="S2" s="12" t="s">
        <v>59</v>
      </c>
      <c r="T2" s="10" t="s">
        <v>62</v>
      </c>
      <c r="U2" s="13" t="s">
        <v>63</v>
      </c>
      <c r="V2" s="6"/>
    </row>
    <row r="3">
      <c r="C3" s="1" t="s">
        <v>11</v>
      </c>
      <c r="D3" s="1" t="s">
        <v>12</v>
      </c>
      <c r="E3" s="1" t="s">
        <v>13</v>
      </c>
      <c r="H3" s="14">
        <v>46357.0</v>
      </c>
      <c r="I3" s="1" t="s">
        <v>15</v>
      </c>
      <c r="J3" s="8"/>
      <c r="K3" s="9">
        <v>2.0</v>
      </c>
      <c r="L3" s="9">
        <v>55000.0</v>
      </c>
      <c r="M3" s="9" t="s">
        <v>9</v>
      </c>
      <c r="N3" s="9" t="s">
        <v>10</v>
      </c>
      <c r="O3" s="15" t="str">
        <f t="shared" ref="O3:O26" si="1">IF(I3="","Unknown",I3)</f>
        <v>Amit</v>
      </c>
      <c r="P3" s="9" t="str">
        <f t="shared" ref="P3:P27" si="2">IF(OR(C3="Male",C3="male",C3="M"),"Male",IF(OR(C3="Female",C3="female",C3="F"),"Female","Unknown"))</f>
        <v>Male</v>
      </c>
      <c r="Q3" s="17" t="str">
        <f t="shared" ref="Q3:Q28" si="3">IF(LOWER(D3)="india","India",IF(OR(LOWER(D3)="usa",LOWER(D3)="united states"),"USA",IF(OR(LOWER(D3)="uk",LOWER(D3)="united kingdom"),"UK",D3)))</f>
        <v>India</v>
      </c>
      <c r="R3" s="18" t="str">
        <f t="shared" ref="R3:R29" si="4">PROPER(TRIM(E3))</f>
        <v>Laptop</v>
      </c>
      <c r="S3" s="17" t="str">
        <f t="shared" ref="S3:S28" si="5">IF(ISNUMBER(H3),TEXT(H3,"dd-mm-yyyy"),IFERROR(TEXT(DATE(VALUE(RIGHT(H3,4)),VALUE(MID(H3,4,2)),VALUE(LEFT(H3,2))),"dd-mm-yyyy"),IFERROR(TEXT(DATE(VALUE(LEFT(H3,4)),VALUE(MID(H3,6,2)),VALUE(RIGHT(H3,2))),"dd-mm-yyyy"),H3)))</f>
        <v>01-12-2026</v>
      </c>
      <c r="T3" s="9">
        <f t="shared" ref="T3:T27" si="6">K3*L3</f>
        <v>110000</v>
      </c>
      <c r="U3" s="17" t="s">
        <v>98</v>
      </c>
      <c r="V3" s="18">
        <f>COUNTBLANK(K3:K27)</f>
        <v>0</v>
      </c>
    </row>
    <row r="4">
      <c r="C4" s="1" t="s">
        <v>18</v>
      </c>
      <c r="D4" s="1" t="s">
        <v>19</v>
      </c>
      <c r="E4" s="1" t="s">
        <v>20</v>
      </c>
      <c r="H4" s="14">
        <v>46035.0</v>
      </c>
      <c r="I4" s="1" t="s">
        <v>21</v>
      </c>
      <c r="J4" s="8"/>
      <c r="K4" s="9">
        <v>1.0</v>
      </c>
      <c r="L4" s="9">
        <v>25000.0</v>
      </c>
      <c r="M4" s="9" t="s">
        <v>16</v>
      </c>
      <c r="N4" s="9" t="s">
        <v>17</v>
      </c>
      <c r="O4" s="15" t="str">
        <f t="shared" si="1"/>
        <v>Riya</v>
      </c>
      <c r="P4" s="9" t="str">
        <f t="shared" si="2"/>
        <v>Female</v>
      </c>
      <c r="Q4" s="17" t="str">
        <f t="shared" si="3"/>
        <v>India</v>
      </c>
      <c r="R4" s="18" t="str">
        <f t="shared" si="4"/>
        <v>Mobile</v>
      </c>
      <c r="S4" s="17" t="str">
        <f t="shared" si="5"/>
        <v>13-01-2026</v>
      </c>
      <c r="T4" s="9">
        <f t="shared" si="6"/>
        <v>25000</v>
      </c>
      <c r="U4" s="17" t="s">
        <v>99</v>
      </c>
      <c r="V4" s="18">
        <f>ROUND(AVERAGE(K3:K27),0)</f>
        <v>2</v>
      </c>
    </row>
    <row r="5">
      <c r="C5" s="1" t="s">
        <v>24</v>
      </c>
      <c r="D5" s="1" t="s">
        <v>25</v>
      </c>
      <c r="E5" s="1" t="s">
        <v>26</v>
      </c>
      <c r="H5" s="19" t="s">
        <v>27</v>
      </c>
      <c r="I5" s="1" t="s">
        <v>15</v>
      </c>
      <c r="J5" s="8"/>
      <c r="K5" s="9">
        <v>3.0</v>
      </c>
      <c r="L5" s="9">
        <v>18000.0</v>
      </c>
      <c r="M5" s="9" t="s">
        <v>22</v>
      </c>
      <c r="N5" s="9" t="s">
        <v>23</v>
      </c>
      <c r="O5" s="15" t="str">
        <f t="shared" si="1"/>
        <v>Amit</v>
      </c>
      <c r="P5" s="9" t="str">
        <f t="shared" si="2"/>
        <v>Male</v>
      </c>
      <c r="Q5" s="17" t="str">
        <f t="shared" si="3"/>
        <v>India</v>
      </c>
      <c r="R5" s="18" t="str">
        <f t="shared" si="4"/>
        <v>Tablet</v>
      </c>
      <c r="S5" s="17" t="str">
        <f t="shared" si="5"/>
        <v>14-01-2026</v>
      </c>
      <c r="T5" s="9">
        <f t="shared" si="6"/>
        <v>54000</v>
      </c>
      <c r="U5" s="17" t="s">
        <v>100</v>
      </c>
      <c r="V5" s="18">
        <f>ROUND(AVERAGEIF(L3:L27, "&gt;0"), 0)</f>
        <v>37395</v>
      </c>
    </row>
    <row r="6">
      <c r="C6" s="1" t="s">
        <v>18</v>
      </c>
      <c r="D6" s="1" t="s">
        <v>30</v>
      </c>
      <c r="E6" s="1" t="s">
        <v>13</v>
      </c>
      <c r="H6" s="1" t="s">
        <v>101</v>
      </c>
      <c r="J6" s="8"/>
      <c r="K6" s="9">
        <v>1.0</v>
      </c>
      <c r="L6" s="9">
        <v>60000.0</v>
      </c>
      <c r="M6" s="9" t="s">
        <v>28</v>
      </c>
      <c r="N6" s="9" t="s">
        <v>29</v>
      </c>
      <c r="O6" s="15" t="str">
        <f t="shared" si="1"/>
        <v>Unknown</v>
      </c>
      <c r="P6" s="9" t="str">
        <f t="shared" si="2"/>
        <v>Female</v>
      </c>
      <c r="Q6" s="17" t="str">
        <f t="shared" si="3"/>
        <v>USA</v>
      </c>
      <c r="R6" s="18" t="str">
        <f t="shared" si="4"/>
        <v>Laptop</v>
      </c>
      <c r="S6" s="17" t="str">
        <f t="shared" si="5"/>
        <v>15-01-2026</v>
      </c>
      <c r="T6" s="9">
        <f t="shared" si="6"/>
        <v>60000</v>
      </c>
    </row>
    <row r="7">
      <c r="C7" s="1" t="s">
        <v>34</v>
      </c>
      <c r="D7" s="1" t="s">
        <v>35</v>
      </c>
      <c r="E7" s="1" t="s">
        <v>20</v>
      </c>
      <c r="H7" s="14">
        <v>46038.0</v>
      </c>
      <c r="I7" s="1" t="s">
        <v>21</v>
      </c>
      <c r="J7" s="8"/>
      <c r="K7" s="9">
        <v>2.0</v>
      </c>
      <c r="L7" s="9">
        <v>28000.0</v>
      </c>
      <c r="M7" s="9" t="s">
        <v>32</v>
      </c>
      <c r="N7" s="9" t="s">
        <v>33</v>
      </c>
      <c r="O7" s="15" t="str">
        <f t="shared" si="1"/>
        <v>Riya</v>
      </c>
      <c r="P7" s="9" t="str">
        <f t="shared" si="2"/>
        <v>Male</v>
      </c>
      <c r="Q7" s="17" t="str">
        <f t="shared" si="3"/>
        <v>USA</v>
      </c>
      <c r="R7" s="18" t="str">
        <f t="shared" si="4"/>
        <v>Mobile</v>
      </c>
      <c r="S7" s="17" t="str">
        <f t="shared" si="5"/>
        <v>16-01-2026</v>
      </c>
      <c r="T7" s="9">
        <f t="shared" si="6"/>
        <v>56000</v>
      </c>
    </row>
    <row r="8">
      <c r="C8" s="1" t="s">
        <v>38</v>
      </c>
      <c r="D8" s="1" t="s">
        <v>39</v>
      </c>
      <c r="E8" s="1" t="s">
        <v>26</v>
      </c>
      <c r="H8" s="14" t="s">
        <v>40</v>
      </c>
      <c r="I8" s="1" t="s">
        <v>15</v>
      </c>
      <c r="J8" s="8"/>
      <c r="K8" s="9">
        <v>2.0</v>
      </c>
      <c r="L8" s="9">
        <v>22000.0</v>
      </c>
      <c r="M8" s="9" t="s">
        <v>36</v>
      </c>
      <c r="N8" s="9" t="s">
        <v>37</v>
      </c>
      <c r="O8" s="15" t="str">
        <f t="shared" si="1"/>
        <v>Amit</v>
      </c>
      <c r="P8" s="9" t="str">
        <f t="shared" si="2"/>
        <v>Female</v>
      </c>
      <c r="Q8" s="17" t="str">
        <f t="shared" si="3"/>
        <v>UK</v>
      </c>
      <c r="R8" s="18" t="str">
        <f t="shared" si="4"/>
        <v>Tablet</v>
      </c>
      <c r="S8" s="17" t="str">
        <f t="shared" si="5"/>
        <v>17-01-2026</v>
      </c>
      <c r="T8" s="9">
        <f t="shared" si="6"/>
        <v>44000</v>
      </c>
    </row>
    <row r="9">
      <c r="C9" s="1" t="s">
        <v>11</v>
      </c>
      <c r="D9" s="1" t="s">
        <v>12</v>
      </c>
      <c r="E9" s="1" t="s">
        <v>13</v>
      </c>
      <c r="H9" s="14" t="s">
        <v>43</v>
      </c>
      <c r="I9" s="1" t="s">
        <v>44</v>
      </c>
      <c r="J9" s="8"/>
      <c r="K9" s="9">
        <v>1.0</v>
      </c>
      <c r="L9" s="9">
        <v>55000.0</v>
      </c>
      <c r="M9" s="9" t="s">
        <v>41</v>
      </c>
      <c r="N9" s="9" t="s">
        <v>42</v>
      </c>
      <c r="O9" s="15" t="str">
        <f t="shared" si="1"/>
        <v>Neha</v>
      </c>
      <c r="P9" s="9" t="str">
        <f t="shared" si="2"/>
        <v>Male</v>
      </c>
      <c r="Q9" s="17" t="str">
        <f t="shared" si="3"/>
        <v>India</v>
      </c>
      <c r="R9" s="18" t="str">
        <f t="shared" si="4"/>
        <v>Laptop</v>
      </c>
      <c r="S9" s="17" t="str">
        <f t="shared" si="5"/>
        <v>18-01-2026</v>
      </c>
      <c r="T9" s="9">
        <f t="shared" si="6"/>
        <v>55000</v>
      </c>
    </row>
    <row r="10">
      <c r="C10" s="1" t="s">
        <v>18</v>
      </c>
      <c r="D10" s="1" t="s">
        <v>19</v>
      </c>
      <c r="E10" s="1" t="s">
        <v>20</v>
      </c>
      <c r="H10" s="14" t="s">
        <v>47</v>
      </c>
      <c r="I10" s="1" t="s">
        <v>21</v>
      </c>
      <c r="J10" s="8"/>
      <c r="K10" s="9">
        <v>2.0</v>
      </c>
      <c r="L10" s="9">
        <v>37435.0</v>
      </c>
      <c r="M10" s="9" t="s">
        <v>45</v>
      </c>
      <c r="N10" s="9" t="s">
        <v>46</v>
      </c>
      <c r="O10" s="15" t="str">
        <f t="shared" si="1"/>
        <v>Riya</v>
      </c>
      <c r="P10" s="9" t="str">
        <f t="shared" si="2"/>
        <v>Female</v>
      </c>
      <c r="Q10" s="17" t="str">
        <f t="shared" si="3"/>
        <v>India</v>
      </c>
      <c r="R10" s="18" t="str">
        <f t="shared" si="4"/>
        <v>Mobile</v>
      </c>
      <c r="S10" s="17" t="str">
        <f t="shared" si="5"/>
        <v>19-01-2026</v>
      </c>
      <c r="T10" s="9">
        <f t="shared" si="6"/>
        <v>74870</v>
      </c>
    </row>
    <row r="11">
      <c r="C11" s="1" t="s">
        <v>24</v>
      </c>
      <c r="D11" s="1" t="s">
        <v>30</v>
      </c>
      <c r="E11" s="1" t="s">
        <v>13</v>
      </c>
      <c r="H11" s="14">
        <v>46042.0</v>
      </c>
      <c r="I11" s="1" t="s">
        <v>15</v>
      </c>
      <c r="J11" s="8"/>
      <c r="K11" s="9">
        <v>1.0</v>
      </c>
      <c r="L11" s="9">
        <v>62000.0</v>
      </c>
      <c r="M11" s="9" t="s">
        <v>50</v>
      </c>
      <c r="N11" s="9" t="s">
        <v>51</v>
      </c>
      <c r="O11" s="15" t="str">
        <f t="shared" si="1"/>
        <v>Amit</v>
      </c>
      <c r="P11" s="9" t="str">
        <f t="shared" si="2"/>
        <v>Male</v>
      </c>
      <c r="Q11" s="17" t="str">
        <f t="shared" si="3"/>
        <v>USA</v>
      </c>
      <c r="R11" s="18" t="str">
        <f t="shared" si="4"/>
        <v>Laptop</v>
      </c>
      <c r="S11" s="17" t="str">
        <f t="shared" si="5"/>
        <v>20-01-2026</v>
      </c>
      <c r="T11" s="9">
        <f t="shared" si="6"/>
        <v>62000</v>
      </c>
    </row>
    <row r="12">
      <c r="C12" s="1" t="s">
        <v>18</v>
      </c>
      <c r="D12" s="1" t="s">
        <v>56</v>
      </c>
      <c r="E12" s="1" t="s">
        <v>26</v>
      </c>
      <c r="H12" s="14" t="s">
        <v>57</v>
      </c>
      <c r="I12" s="1" t="s">
        <v>44</v>
      </c>
      <c r="J12" s="8"/>
      <c r="K12" s="9">
        <v>2.0</v>
      </c>
      <c r="L12" s="9">
        <v>21000.0</v>
      </c>
      <c r="M12" s="9" t="s">
        <v>54</v>
      </c>
      <c r="N12" s="9" t="s">
        <v>55</v>
      </c>
      <c r="O12" s="15" t="str">
        <f t="shared" si="1"/>
        <v>Neha</v>
      </c>
      <c r="P12" s="9" t="str">
        <f t="shared" si="2"/>
        <v>Female</v>
      </c>
      <c r="Q12" s="17" t="str">
        <f t="shared" si="3"/>
        <v>UK</v>
      </c>
      <c r="R12" s="18" t="str">
        <f t="shared" si="4"/>
        <v>Tablet</v>
      </c>
      <c r="S12" s="17" t="str">
        <f t="shared" si="5"/>
        <v>21-01-2026</v>
      </c>
      <c r="T12" s="9">
        <f t="shared" si="6"/>
        <v>42000</v>
      </c>
    </row>
    <row r="13">
      <c r="C13" s="1" t="s">
        <v>11</v>
      </c>
      <c r="D13" s="1" t="s">
        <v>25</v>
      </c>
      <c r="E13" s="1" t="s">
        <v>20</v>
      </c>
      <c r="H13" s="14" t="s">
        <v>64</v>
      </c>
      <c r="I13" s="1" t="s">
        <v>15</v>
      </c>
      <c r="J13" s="8"/>
      <c r="K13" s="9">
        <v>3.0</v>
      </c>
      <c r="L13" s="9">
        <v>27000.0</v>
      </c>
      <c r="M13" s="9" t="s">
        <v>60</v>
      </c>
      <c r="N13" s="9" t="s">
        <v>61</v>
      </c>
      <c r="O13" s="15" t="str">
        <f t="shared" si="1"/>
        <v>Amit</v>
      </c>
      <c r="P13" s="9" t="str">
        <f t="shared" si="2"/>
        <v>Male</v>
      </c>
      <c r="Q13" s="17" t="str">
        <f t="shared" si="3"/>
        <v>India</v>
      </c>
      <c r="R13" s="18" t="str">
        <f t="shared" si="4"/>
        <v>Mobile</v>
      </c>
      <c r="S13" s="17" t="str">
        <f t="shared" si="5"/>
        <v>22-01-2026</v>
      </c>
      <c r="T13" s="9">
        <f t="shared" si="6"/>
        <v>81000</v>
      </c>
    </row>
    <row r="14">
      <c r="C14" s="1" t="s">
        <v>18</v>
      </c>
      <c r="D14" s="1" t="s">
        <v>39</v>
      </c>
      <c r="E14" s="1" t="s">
        <v>13</v>
      </c>
      <c r="H14" s="14" t="s">
        <v>69</v>
      </c>
      <c r="J14" s="8"/>
      <c r="K14" s="9">
        <v>1.0</v>
      </c>
      <c r="L14" s="9">
        <v>58000.0</v>
      </c>
      <c r="M14" s="9" t="s">
        <v>67</v>
      </c>
      <c r="N14" s="9" t="s">
        <v>68</v>
      </c>
      <c r="O14" s="15" t="str">
        <f t="shared" si="1"/>
        <v>Unknown</v>
      </c>
      <c r="P14" s="9" t="str">
        <f t="shared" si="2"/>
        <v>Female</v>
      </c>
      <c r="Q14" s="17" t="str">
        <f t="shared" si="3"/>
        <v>UK</v>
      </c>
      <c r="R14" s="18" t="str">
        <f t="shared" si="4"/>
        <v>Laptop</v>
      </c>
      <c r="S14" s="17" t="str">
        <f t="shared" si="5"/>
        <v>23-01-2026</v>
      </c>
      <c r="T14" s="9">
        <f t="shared" si="6"/>
        <v>58000</v>
      </c>
    </row>
    <row r="15">
      <c r="C15" s="1" t="s">
        <v>24</v>
      </c>
      <c r="D15" s="1" t="s">
        <v>12</v>
      </c>
      <c r="E15" s="1" t="s">
        <v>26</v>
      </c>
      <c r="H15" s="14" t="s">
        <v>27</v>
      </c>
      <c r="I15" s="1" t="s">
        <v>15</v>
      </c>
      <c r="J15" s="8"/>
      <c r="K15" s="9">
        <v>3.0</v>
      </c>
      <c r="L15" s="9">
        <v>18000.0</v>
      </c>
      <c r="M15" s="9" t="s">
        <v>70</v>
      </c>
      <c r="N15" s="9" t="s">
        <v>23</v>
      </c>
      <c r="O15" s="15" t="str">
        <f t="shared" si="1"/>
        <v>Amit</v>
      </c>
      <c r="P15" s="9" t="str">
        <f t="shared" si="2"/>
        <v>Male</v>
      </c>
      <c r="Q15" s="17" t="str">
        <f t="shared" si="3"/>
        <v>India</v>
      </c>
      <c r="R15" s="18" t="str">
        <f t="shared" si="4"/>
        <v>Tablet</v>
      </c>
      <c r="S15" s="17" t="str">
        <f t="shared" si="5"/>
        <v>14-01-2026</v>
      </c>
      <c r="T15" s="9">
        <f t="shared" si="6"/>
        <v>54000</v>
      </c>
    </row>
    <row r="16">
      <c r="C16" s="1" t="s">
        <v>18</v>
      </c>
      <c r="D16" s="1" t="s">
        <v>30</v>
      </c>
      <c r="E16" s="1" t="s">
        <v>20</v>
      </c>
      <c r="H16" s="14" t="s">
        <v>73</v>
      </c>
      <c r="I16" s="1" t="s">
        <v>21</v>
      </c>
      <c r="J16" s="8"/>
      <c r="K16" s="9">
        <v>2.0</v>
      </c>
      <c r="L16" s="9">
        <v>30000.0</v>
      </c>
      <c r="M16" s="9" t="s">
        <v>71</v>
      </c>
      <c r="N16" s="9" t="s">
        <v>72</v>
      </c>
      <c r="O16" s="15" t="str">
        <f t="shared" si="1"/>
        <v>Riya</v>
      </c>
      <c r="P16" s="9" t="str">
        <f t="shared" si="2"/>
        <v>Female</v>
      </c>
      <c r="Q16" s="17" t="str">
        <f t="shared" si="3"/>
        <v>USA</v>
      </c>
      <c r="R16" s="18" t="str">
        <f t="shared" si="4"/>
        <v>Mobile</v>
      </c>
      <c r="S16" s="17" t="str">
        <f t="shared" si="5"/>
        <v>25-01-2026</v>
      </c>
      <c r="T16" s="9">
        <f t="shared" si="6"/>
        <v>60000</v>
      </c>
    </row>
    <row r="17">
      <c r="C17" s="1" t="s">
        <v>11</v>
      </c>
      <c r="D17" s="1" t="s">
        <v>19</v>
      </c>
      <c r="E17" s="1" t="s">
        <v>13</v>
      </c>
      <c r="H17" s="14" t="s">
        <v>75</v>
      </c>
      <c r="I17" s="1" t="s">
        <v>15</v>
      </c>
      <c r="J17" s="8"/>
      <c r="K17" s="9">
        <v>2.0</v>
      </c>
      <c r="L17" s="9">
        <v>55000.0</v>
      </c>
      <c r="M17" s="9" t="s">
        <v>74</v>
      </c>
      <c r="N17" s="9" t="s">
        <v>10</v>
      </c>
      <c r="O17" s="15" t="str">
        <f t="shared" si="1"/>
        <v>Amit</v>
      </c>
      <c r="P17" s="9" t="str">
        <f t="shared" si="2"/>
        <v>Male</v>
      </c>
      <c r="Q17" s="17" t="str">
        <f t="shared" si="3"/>
        <v>India</v>
      </c>
      <c r="R17" s="18" t="str">
        <f t="shared" si="4"/>
        <v>Laptop</v>
      </c>
      <c r="S17" s="17" t="str">
        <f t="shared" si="5"/>
        <v>26-01-2026</v>
      </c>
      <c r="T17" s="9">
        <f t="shared" si="6"/>
        <v>110000</v>
      </c>
    </row>
    <row r="18">
      <c r="C18" s="1" t="s">
        <v>38</v>
      </c>
      <c r="D18" s="1" t="s">
        <v>35</v>
      </c>
      <c r="E18" s="1" t="s">
        <v>26</v>
      </c>
      <c r="H18" s="14" t="s">
        <v>78</v>
      </c>
      <c r="I18" s="1" t="s">
        <v>44</v>
      </c>
      <c r="J18" s="8"/>
      <c r="K18" s="9">
        <v>1.0</v>
      </c>
      <c r="L18" s="9">
        <v>20000.0</v>
      </c>
      <c r="M18" s="9" t="s">
        <v>76</v>
      </c>
      <c r="N18" s="9" t="s">
        <v>77</v>
      </c>
      <c r="O18" s="15" t="str">
        <f t="shared" si="1"/>
        <v>Neha</v>
      </c>
      <c r="P18" s="9" t="str">
        <f t="shared" si="2"/>
        <v>Female</v>
      </c>
      <c r="Q18" s="17" t="str">
        <f t="shared" si="3"/>
        <v>USA</v>
      </c>
      <c r="R18" s="18" t="str">
        <f t="shared" si="4"/>
        <v>Tablet</v>
      </c>
      <c r="S18" s="17" t="str">
        <f t="shared" si="5"/>
        <v>27-01-2026</v>
      </c>
      <c r="T18" s="9">
        <f t="shared" si="6"/>
        <v>20000</v>
      </c>
    </row>
    <row r="19">
      <c r="C19" s="1" t="s">
        <v>11</v>
      </c>
      <c r="D19" s="1" t="s">
        <v>12</v>
      </c>
      <c r="E19" s="1" t="s">
        <v>20</v>
      </c>
      <c r="H19" s="14">
        <v>46050.0</v>
      </c>
      <c r="J19" s="8"/>
      <c r="K19" s="9">
        <v>2.0</v>
      </c>
      <c r="L19" s="9">
        <v>26000.0</v>
      </c>
      <c r="M19" s="9" t="s">
        <v>79</v>
      </c>
      <c r="N19" s="9" t="s">
        <v>80</v>
      </c>
      <c r="O19" s="15" t="str">
        <f t="shared" si="1"/>
        <v>Unknown</v>
      </c>
      <c r="P19" s="9" t="str">
        <f t="shared" si="2"/>
        <v>Male</v>
      </c>
      <c r="Q19" s="17" t="str">
        <f t="shared" si="3"/>
        <v>India</v>
      </c>
      <c r="R19" s="18" t="str">
        <f t="shared" si="4"/>
        <v>Mobile</v>
      </c>
      <c r="S19" s="17" t="str">
        <f t="shared" si="5"/>
        <v>28-01-2026</v>
      </c>
      <c r="T19" s="9">
        <f t="shared" si="6"/>
        <v>52000</v>
      </c>
    </row>
    <row r="20">
      <c r="C20" s="1" t="s">
        <v>18</v>
      </c>
      <c r="D20" s="1" t="s">
        <v>25</v>
      </c>
      <c r="E20" s="1" t="s">
        <v>13</v>
      </c>
      <c r="H20" s="14" t="s">
        <v>82</v>
      </c>
      <c r="I20" s="1" t="s">
        <v>21</v>
      </c>
      <c r="J20" s="8"/>
      <c r="K20" s="9">
        <v>1.0</v>
      </c>
      <c r="L20" s="9">
        <v>60000.0</v>
      </c>
      <c r="M20" s="9" t="s">
        <v>81</v>
      </c>
      <c r="N20" s="9" t="s">
        <v>17</v>
      </c>
      <c r="O20" s="15" t="str">
        <f t="shared" si="1"/>
        <v>Riya</v>
      </c>
      <c r="P20" s="9" t="str">
        <f t="shared" si="2"/>
        <v>Female</v>
      </c>
      <c r="Q20" s="17" t="str">
        <f t="shared" si="3"/>
        <v>India</v>
      </c>
      <c r="R20" s="18" t="str">
        <f t="shared" si="4"/>
        <v>Laptop</v>
      </c>
      <c r="S20" s="17" t="str">
        <f t="shared" si="5"/>
        <v>29-01-2026</v>
      </c>
      <c r="T20" s="9">
        <f t="shared" si="6"/>
        <v>60000</v>
      </c>
    </row>
    <row r="21">
      <c r="C21" s="1" t="s">
        <v>24</v>
      </c>
      <c r="D21" s="1" t="s">
        <v>30</v>
      </c>
      <c r="E21" s="1" t="s">
        <v>26</v>
      </c>
      <c r="H21" s="14" t="s">
        <v>84</v>
      </c>
      <c r="I21" s="1" t="s">
        <v>15</v>
      </c>
      <c r="J21" s="8"/>
      <c r="K21" s="9">
        <v>2.0</v>
      </c>
      <c r="L21" s="9">
        <v>22000.0</v>
      </c>
      <c r="M21" s="9" t="s">
        <v>83</v>
      </c>
      <c r="N21" s="9" t="s">
        <v>51</v>
      </c>
      <c r="O21" s="15" t="str">
        <f t="shared" si="1"/>
        <v>Amit</v>
      </c>
      <c r="P21" s="9" t="str">
        <f t="shared" si="2"/>
        <v>Male</v>
      </c>
      <c r="Q21" s="17" t="str">
        <f t="shared" si="3"/>
        <v>USA</v>
      </c>
      <c r="R21" s="18" t="str">
        <f t="shared" si="4"/>
        <v>Tablet</v>
      </c>
      <c r="S21" s="17" t="str">
        <f t="shared" si="5"/>
        <v>30-01-2026</v>
      </c>
      <c r="T21" s="9">
        <f t="shared" si="6"/>
        <v>44000</v>
      </c>
    </row>
    <row r="22">
      <c r="C22" s="1" t="s">
        <v>18</v>
      </c>
      <c r="D22" s="1" t="s">
        <v>56</v>
      </c>
      <c r="E22" s="1" t="s">
        <v>20</v>
      </c>
      <c r="H22" s="14" t="s">
        <v>86</v>
      </c>
      <c r="I22" s="1" t="s">
        <v>44</v>
      </c>
      <c r="J22" s="8"/>
      <c r="K22" s="9">
        <v>1.0</v>
      </c>
      <c r="L22" s="9">
        <v>29000.0</v>
      </c>
      <c r="M22" s="9" t="s">
        <v>85</v>
      </c>
      <c r="N22" s="9" t="s">
        <v>29</v>
      </c>
      <c r="O22" s="15" t="str">
        <f t="shared" si="1"/>
        <v>Neha</v>
      </c>
      <c r="P22" s="9" t="str">
        <f t="shared" si="2"/>
        <v>Female</v>
      </c>
      <c r="Q22" s="17" t="str">
        <f t="shared" si="3"/>
        <v>UK</v>
      </c>
      <c r="R22" s="18" t="str">
        <f t="shared" si="4"/>
        <v>Mobile</v>
      </c>
      <c r="S22" s="17" t="str">
        <f t="shared" si="5"/>
        <v>31-01-2026</v>
      </c>
      <c r="T22" s="9">
        <f t="shared" si="6"/>
        <v>29000</v>
      </c>
    </row>
    <row r="23">
      <c r="C23" s="1" t="s">
        <v>11</v>
      </c>
      <c r="D23" s="1" t="s">
        <v>12</v>
      </c>
      <c r="E23" s="1" t="s">
        <v>13</v>
      </c>
      <c r="H23" s="14">
        <v>46024.0</v>
      </c>
      <c r="I23" s="1" t="s">
        <v>15</v>
      </c>
      <c r="J23" s="8"/>
      <c r="K23" s="9">
        <v>2.0</v>
      </c>
      <c r="L23" s="9">
        <v>57000.0</v>
      </c>
      <c r="M23" s="9" t="s">
        <v>87</v>
      </c>
      <c r="N23" s="9" t="s">
        <v>88</v>
      </c>
      <c r="O23" s="15" t="str">
        <f t="shared" si="1"/>
        <v>Amit</v>
      </c>
      <c r="P23" s="9" t="str">
        <f t="shared" si="2"/>
        <v>Male</v>
      </c>
      <c r="Q23" s="17" t="str">
        <f t="shared" si="3"/>
        <v>India</v>
      </c>
      <c r="R23" s="18" t="str">
        <f t="shared" si="4"/>
        <v>Laptop</v>
      </c>
      <c r="S23" s="17" t="str">
        <f t="shared" si="5"/>
        <v>02-01-2026</v>
      </c>
      <c r="T23" s="9">
        <f t="shared" si="6"/>
        <v>114000</v>
      </c>
    </row>
    <row r="24">
      <c r="C24" s="1" t="s">
        <v>18</v>
      </c>
      <c r="D24" s="1" t="s">
        <v>19</v>
      </c>
      <c r="E24" s="1" t="s">
        <v>20</v>
      </c>
      <c r="H24" s="14">
        <v>46055.0</v>
      </c>
      <c r="I24" s="1" t="s">
        <v>21</v>
      </c>
      <c r="J24" s="8"/>
      <c r="K24" s="9">
        <v>2.0</v>
      </c>
      <c r="L24" s="9">
        <v>24000.0</v>
      </c>
      <c r="M24" s="9" t="s">
        <v>89</v>
      </c>
      <c r="N24" s="9" t="s">
        <v>90</v>
      </c>
      <c r="O24" s="15" t="str">
        <f t="shared" si="1"/>
        <v>Riya</v>
      </c>
      <c r="P24" s="9" t="str">
        <f t="shared" si="2"/>
        <v>Female</v>
      </c>
      <c r="Q24" s="17" t="str">
        <f t="shared" si="3"/>
        <v>India</v>
      </c>
      <c r="R24" s="18" t="str">
        <f t="shared" si="4"/>
        <v>Mobile</v>
      </c>
      <c r="S24" s="17" t="str">
        <f t="shared" si="5"/>
        <v>02-02-2026</v>
      </c>
      <c r="T24" s="9">
        <f t="shared" si="6"/>
        <v>48000</v>
      </c>
    </row>
    <row r="25">
      <c r="C25" s="1" t="s">
        <v>24</v>
      </c>
      <c r="D25" s="1" t="s">
        <v>39</v>
      </c>
      <c r="E25" s="1" t="s">
        <v>26</v>
      </c>
      <c r="H25" s="14" t="s">
        <v>93</v>
      </c>
      <c r="I25" s="1" t="s">
        <v>44</v>
      </c>
      <c r="J25" s="8"/>
      <c r="K25" s="9">
        <v>1.0</v>
      </c>
      <c r="L25" s="9">
        <v>37435.0</v>
      </c>
      <c r="M25" s="9" t="s">
        <v>91</v>
      </c>
      <c r="N25" s="9" t="s">
        <v>92</v>
      </c>
      <c r="O25" s="15" t="str">
        <f t="shared" si="1"/>
        <v>Neha</v>
      </c>
      <c r="P25" s="9" t="str">
        <f t="shared" si="2"/>
        <v>Male</v>
      </c>
      <c r="Q25" s="17" t="str">
        <f t="shared" si="3"/>
        <v>UK</v>
      </c>
      <c r="R25" s="18" t="str">
        <f t="shared" si="4"/>
        <v>Tablet</v>
      </c>
      <c r="S25" s="17" t="str">
        <f t="shared" si="5"/>
        <v>03-02-2026</v>
      </c>
      <c r="T25" s="9">
        <f t="shared" si="6"/>
        <v>37435</v>
      </c>
    </row>
    <row r="26">
      <c r="C26" s="1" t="s">
        <v>11</v>
      </c>
      <c r="D26" s="1" t="s">
        <v>30</v>
      </c>
      <c r="E26" s="1" t="s">
        <v>13</v>
      </c>
      <c r="H26" s="14">
        <v>46114.0</v>
      </c>
      <c r="I26" s="1" t="s">
        <v>15</v>
      </c>
      <c r="J26" s="8"/>
      <c r="K26" s="9">
        <v>2.0</v>
      </c>
      <c r="L26" s="9">
        <v>61000.0</v>
      </c>
      <c r="M26" s="9" t="s">
        <v>94</v>
      </c>
      <c r="N26" s="9" t="s">
        <v>95</v>
      </c>
      <c r="O26" s="15" t="str">
        <f t="shared" si="1"/>
        <v>Amit</v>
      </c>
      <c r="P26" s="9" t="str">
        <f t="shared" si="2"/>
        <v>Male</v>
      </c>
      <c r="Q26" s="17" t="str">
        <f t="shared" si="3"/>
        <v>USA</v>
      </c>
      <c r="R26" s="18" t="str">
        <f t="shared" si="4"/>
        <v>Laptop</v>
      </c>
      <c r="S26" s="17" t="str">
        <f t="shared" si="5"/>
        <v>02-04-2026</v>
      </c>
      <c r="T26" s="9">
        <f t="shared" si="6"/>
        <v>122000</v>
      </c>
    </row>
    <row r="27">
      <c r="C27" s="1" t="s">
        <v>18</v>
      </c>
      <c r="D27" s="1" t="s">
        <v>35</v>
      </c>
      <c r="E27" s="1" t="s">
        <v>20</v>
      </c>
      <c r="H27" s="14">
        <v>46144.0</v>
      </c>
      <c r="J27" s="8"/>
      <c r="K27" s="9">
        <v>1.0</v>
      </c>
      <c r="L27" s="9">
        <v>27000.0</v>
      </c>
      <c r="M27" s="9" t="s">
        <v>96</v>
      </c>
      <c r="N27" s="9" t="s">
        <v>97</v>
      </c>
      <c r="O27" s="9" t="s">
        <v>66</v>
      </c>
      <c r="P27" s="9" t="str">
        <f t="shared" si="2"/>
        <v>Female</v>
      </c>
      <c r="Q27" s="17" t="str">
        <f t="shared" si="3"/>
        <v>USA</v>
      </c>
      <c r="R27" s="18" t="str">
        <f t="shared" si="4"/>
        <v>Mobile</v>
      </c>
      <c r="S27" s="17" t="str">
        <f t="shared" si="5"/>
        <v>02-05-2026</v>
      </c>
      <c r="T27" s="9">
        <f t="shared" si="6"/>
        <v>27000</v>
      </c>
    </row>
    <row r="28">
      <c r="Q28" s="1" t="str">
        <f t="shared" si="3"/>
        <v/>
      </c>
      <c r="R28" s="11" t="str">
        <f t="shared" si="4"/>
        <v/>
      </c>
      <c r="S28" s="1" t="str">
        <f t="shared" si="5"/>
        <v/>
      </c>
      <c r="T28" s="1">
        <f>F28*G28</f>
        <v>0</v>
      </c>
    </row>
    <row r="29">
      <c r="R29" s="11" t="str">
        <f t="shared" si="4"/>
        <v/>
      </c>
    </row>
  </sheetData>
  <mergeCells count="2">
    <mergeCell ref="U2:V2"/>
    <mergeCell ref="K1:T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1"/>
      <c r="B1" s="11" t="s">
        <v>102</v>
      </c>
      <c r="C1" s="11" t="s">
        <v>103</v>
      </c>
    </row>
    <row r="2">
      <c r="A2" s="11" t="s">
        <v>13</v>
      </c>
      <c r="B2" s="11">
        <v>751000.0</v>
      </c>
      <c r="C2" s="11">
        <v>13.0</v>
      </c>
    </row>
    <row r="3">
      <c r="A3" s="11" t="s">
        <v>20</v>
      </c>
      <c r="B3" s="11">
        <v>452870.0</v>
      </c>
      <c r="C3" s="11">
        <v>16.0</v>
      </c>
    </row>
    <row r="4">
      <c r="A4" s="11" t="s">
        <v>58</v>
      </c>
      <c r="B4" s="11">
        <v>0.0</v>
      </c>
      <c r="C4" s="11">
        <v>0.0</v>
      </c>
    </row>
    <row r="5">
      <c r="A5" s="11" t="s">
        <v>26</v>
      </c>
      <c r="B5" s="11">
        <v>295435.0</v>
      </c>
      <c r="C5" s="11">
        <v>14.0</v>
      </c>
    </row>
    <row r="6">
      <c r="A6" s="11" t="s">
        <v>65</v>
      </c>
      <c r="B6" s="11">
        <v>1499305.0</v>
      </c>
      <c r="C6" s="11">
        <v>43.0</v>
      </c>
    </row>
  </sheetData>
  <drawing r:id="rId1"/>
</worksheet>
</file>